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6af6b6dda3b9b4/Programa Formação Cervejeira/Lagers Tchecas/Materiais auxiliares/"/>
    </mc:Choice>
  </mc:AlternateContent>
  <xr:revisionPtr revIDLastSave="804" documentId="8_{C6FC4540-ABA8-4A58-B3D2-B33C25E6605D}" xr6:coauthVersionLast="47" xr6:coauthVersionMax="47" xr10:uidLastSave="{7C20A1AB-B6CC-4165-ABE2-7A77DAAFD75C}"/>
  <bookViews>
    <workbookView xWindow="22932" yWindow="-84" windowWidth="23256" windowHeight="13176" xr2:uid="{4A3AB96C-0872-4946-ADBE-28316A5C333E}"/>
  </bookViews>
  <sheets>
    <sheet name="Tripla Tradiconal" sheetId="4" r:id="rId1"/>
    <sheet name="Dupla Tradicional" sheetId="8" r:id="rId2"/>
    <sheet name="Dupla Moderna" sheetId="6" r:id="rId3"/>
    <sheet name="Simple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8" l="1"/>
  <c r="C15" i="8"/>
  <c r="C14" i="8"/>
  <c r="C13" i="8"/>
  <c r="C11" i="8"/>
  <c r="C10" i="8"/>
  <c r="C9" i="8"/>
  <c r="C7" i="8"/>
  <c r="D7" i="8" s="1"/>
  <c r="D6" i="8"/>
  <c r="E6" i="8" s="1"/>
  <c r="C6" i="8"/>
  <c r="D5" i="8"/>
  <c r="E5" i="8" s="1"/>
  <c r="E4" i="8"/>
  <c r="C23" i="4"/>
  <c r="C18" i="4"/>
  <c r="C16" i="6"/>
  <c r="C17" i="4"/>
  <c r="C10" i="4"/>
  <c r="C14" i="7"/>
  <c r="C13" i="7"/>
  <c r="C6" i="7"/>
  <c r="C11" i="7"/>
  <c r="C10" i="7"/>
  <c r="C9" i="7"/>
  <c r="C7" i="7"/>
  <c r="D5" i="7"/>
  <c r="E5" i="7" s="1"/>
  <c r="E4" i="7"/>
  <c r="C10" i="6"/>
  <c r="C14" i="6"/>
  <c r="C15" i="6"/>
  <c r="C13" i="6"/>
  <c r="C11" i="6"/>
  <c r="C9" i="6"/>
  <c r="C7" i="6"/>
  <c r="C6" i="6"/>
  <c r="D5" i="6"/>
  <c r="E5" i="6" s="1"/>
  <c r="E4" i="6"/>
  <c r="C21" i="4"/>
  <c r="C16" i="4"/>
  <c r="C14" i="4"/>
  <c r="C9" i="4"/>
  <c r="C7" i="4"/>
  <c r="C22" i="4"/>
  <c r="C11" i="4"/>
  <c r="C20" i="4"/>
  <c r="C13" i="4"/>
  <c r="C6" i="4"/>
  <c r="D8" i="8" l="1"/>
  <c r="E7" i="8"/>
  <c r="D6" i="7"/>
  <c r="E6" i="7" s="1"/>
  <c r="D6" i="6"/>
  <c r="D7" i="6" s="1"/>
  <c r="E4" i="4"/>
  <c r="D5" i="4"/>
  <c r="D6" i="4" s="1"/>
  <c r="E6" i="4" s="1"/>
  <c r="D9" i="8" l="1"/>
  <c r="E8" i="8"/>
  <c r="D7" i="7"/>
  <c r="D8" i="7" s="1"/>
  <c r="E6" i="6"/>
  <c r="D8" i="6"/>
  <c r="E7" i="6"/>
  <c r="E5" i="4"/>
  <c r="D7" i="4"/>
  <c r="E9" i="8" l="1"/>
  <c r="D10" i="8"/>
  <c r="E7" i="7"/>
  <c r="E8" i="7"/>
  <c r="D9" i="7"/>
  <c r="E8" i="6"/>
  <c r="D9" i="6"/>
  <c r="D8" i="4"/>
  <c r="E7" i="4"/>
  <c r="E10" i="8" l="1"/>
  <c r="D11" i="8"/>
  <c r="E9" i="7"/>
  <c r="D10" i="7"/>
  <c r="D10" i="6"/>
  <c r="E9" i="6"/>
  <c r="D9" i="4"/>
  <c r="E8" i="4"/>
  <c r="E11" i="8" l="1"/>
  <c r="D12" i="8"/>
  <c r="E10" i="7"/>
  <c r="D11" i="7"/>
  <c r="E10" i="6"/>
  <c r="D11" i="6"/>
  <c r="D10" i="4"/>
  <c r="E9" i="4"/>
  <c r="E12" i="8" l="1"/>
  <c r="D13" i="8"/>
  <c r="D12" i="7"/>
  <c r="E11" i="7"/>
  <c r="D12" i="6"/>
  <c r="E11" i="6"/>
  <c r="D11" i="4"/>
  <c r="E10" i="4"/>
  <c r="E13" i="8" l="1"/>
  <c r="D14" i="8"/>
  <c r="E12" i="7"/>
  <c r="D13" i="7"/>
  <c r="D13" i="6"/>
  <c r="D14" i="6" s="1"/>
  <c r="E14" i="6" s="1"/>
  <c r="E12" i="6"/>
  <c r="D12" i="4"/>
  <c r="E11" i="4"/>
  <c r="E14" i="8" l="1"/>
  <c r="D15" i="8"/>
  <c r="E13" i="7"/>
  <c r="D14" i="7"/>
  <c r="E13" i="6"/>
  <c r="D13" i="4"/>
  <c r="E12" i="4"/>
  <c r="D16" i="8" l="1"/>
  <c r="E15" i="8"/>
  <c r="E14" i="7"/>
  <c r="D15" i="7"/>
  <c r="E15" i="7" s="1"/>
  <c r="D14" i="4"/>
  <c r="E13" i="4"/>
  <c r="D17" i="8" l="1"/>
  <c r="E17" i="8" s="1"/>
  <c r="E16" i="8"/>
  <c r="D15" i="4"/>
  <c r="E14" i="4"/>
  <c r="D15" i="6" l="1"/>
  <c r="D16" i="4"/>
  <c r="E15" i="4"/>
  <c r="D16" i="6" l="1"/>
  <c r="D17" i="6" s="1"/>
  <c r="E17" i="6" s="1"/>
  <c r="E15" i="6"/>
  <c r="D17" i="4"/>
  <c r="E16" i="4"/>
  <c r="E16" i="6" l="1"/>
  <c r="D18" i="4"/>
  <c r="E17" i="4"/>
  <c r="D19" i="4" l="1"/>
  <c r="E18" i="4"/>
  <c r="D20" i="4" l="1"/>
  <c r="E19" i="4"/>
  <c r="D21" i="4" l="1"/>
  <c r="E20" i="4"/>
  <c r="D22" i="4" l="1"/>
  <c r="E21" i="4"/>
  <c r="D23" i="4" l="1"/>
  <c r="E22" i="4"/>
  <c r="D24" i="4" l="1"/>
  <c r="E24" i="4" s="1"/>
  <c r="E23" i="4"/>
</calcChain>
</file>

<file path=xl/sharedStrings.xml><?xml version="1.0" encoding="utf-8"?>
<sst xmlns="http://schemas.openxmlformats.org/spreadsheetml/2006/main" count="117" uniqueCount="33">
  <si>
    <t>Processo</t>
  </si>
  <si>
    <t>Mash In</t>
  </si>
  <si>
    <t>Rampa fitase</t>
  </si>
  <si>
    <t>Aquecimento primeira decocção</t>
  </si>
  <si>
    <t>Sacarificação decocção</t>
  </si>
  <si>
    <t>Transferência 1/3 Mostura -&gt; Fervura</t>
  </si>
  <si>
    <t>Trasferência  Fervura-&gt;Mostura</t>
  </si>
  <si>
    <t>Rampa Protease</t>
  </si>
  <si>
    <t>Primeira decocção</t>
  </si>
  <si>
    <t>Aquecimento segunda decocção</t>
  </si>
  <si>
    <t>Segunda decocção</t>
  </si>
  <si>
    <t>Rampa Sacarificação</t>
  </si>
  <si>
    <t>Aquecimento Terceira decocção</t>
  </si>
  <si>
    <t>Terceira decocção</t>
  </si>
  <si>
    <t>Mash out</t>
  </si>
  <si>
    <t>Tempo processo (min)</t>
  </si>
  <si>
    <t>Tempo total (min)</t>
  </si>
  <si>
    <t>Tempo total (h)</t>
  </si>
  <si>
    <t>Tina de Mostura (°C)</t>
  </si>
  <si>
    <t>Tina de Fervura (°C)</t>
  </si>
  <si>
    <t>min</t>
  </si>
  <si>
    <t xml:space="preserve">Taxa de aquecimento </t>
  </si>
  <si>
    <t>(°C/min)</t>
  </si>
  <si>
    <t>Tempo transferências</t>
  </si>
  <si>
    <t>Mash Out</t>
  </si>
  <si>
    <t>Tempo decocçõe 2</t>
  </si>
  <si>
    <t>Tempo decocção 1</t>
  </si>
  <si>
    <t>Esse arquivo foi feito para o Beer School por Jamal Awadallak</t>
  </si>
  <si>
    <t>Rampa sacarificação</t>
  </si>
  <si>
    <t>Rampa a-amilase</t>
  </si>
  <si>
    <t>Rampa b-amilase</t>
  </si>
  <si>
    <t>Aquecimento Mash out</t>
  </si>
  <si>
    <t>Transferência 1/2 Mostura -&gt; Fervura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</si>
</sst>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80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'Tripla Tradiconal'!$F$3</c:f>
              <c:strCache>
                <c:ptCount val="1"/>
                <c:pt idx="0">
                  <c:v>Tina de Mostura (°C)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'Tripla Tradiconal'!$D$4:$D$24</c:f>
              <c:numCache>
                <c:formatCode>0.0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13</c:v>
                </c:pt>
                <c:pt idx="3">
                  <c:v>24.666666666666664</c:v>
                </c:pt>
                <c:pt idx="4">
                  <c:v>34.666666666666664</c:v>
                </c:pt>
                <c:pt idx="5">
                  <c:v>44.666666666666664</c:v>
                </c:pt>
                <c:pt idx="6">
                  <c:v>54.666666666666664</c:v>
                </c:pt>
                <c:pt idx="7">
                  <c:v>57.666666666666664</c:v>
                </c:pt>
                <c:pt idx="8">
                  <c:v>57.666666666666664</c:v>
                </c:pt>
                <c:pt idx="9">
                  <c:v>60.666666666666664</c:v>
                </c:pt>
                <c:pt idx="10">
                  <c:v>66.666666666666657</c:v>
                </c:pt>
                <c:pt idx="11">
                  <c:v>76.666666666666657</c:v>
                </c:pt>
                <c:pt idx="12">
                  <c:v>86.666666666666657</c:v>
                </c:pt>
                <c:pt idx="13">
                  <c:v>116.66666666666666</c:v>
                </c:pt>
                <c:pt idx="14">
                  <c:v>119.66666666666666</c:v>
                </c:pt>
                <c:pt idx="15">
                  <c:v>119.66666666666666</c:v>
                </c:pt>
                <c:pt idx="16">
                  <c:v>122.66666666666666</c:v>
                </c:pt>
                <c:pt idx="17">
                  <c:v>134.33333333333331</c:v>
                </c:pt>
                <c:pt idx="18">
                  <c:v>144.33333333333331</c:v>
                </c:pt>
                <c:pt idx="19">
                  <c:v>147.33333333333331</c:v>
                </c:pt>
                <c:pt idx="20">
                  <c:v>157.33333333333331</c:v>
                </c:pt>
              </c:numCache>
            </c:numRef>
          </c:xVal>
          <c:yVal>
            <c:numRef>
              <c:f>'Tripla Tradiconal'!$F$4:$F$24</c:f>
              <c:numCache>
                <c:formatCode>General</c:formatCode>
                <c:ptCount val="2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75</c:v>
                </c:pt>
                <c:pt idx="2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9D-42CD-AB0C-CE4BAFB1F46C}"/>
            </c:ext>
          </c:extLst>
        </c:ser>
        <c:ser>
          <c:idx val="0"/>
          <c:order val="1"/>
          <c:tx>
            <c:strRef>
              <c:f>'Tripla Tradiconal'!$G$3</c:f>
              <c:strCache>
                <c:ptCount val="1"/>
                <c:pt idx="0">
                  <c:v>Tina de Fervura (°C)</c:v>
                </c:pt>
              </c:strCache>
            </c:strRef>
          </c:tx>
          <c:spPr>
            <a:ln w="19050" cap="rnd">
              <a:solidFill>
                <a:srgbClr val="EE801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'Tripla Tradiconal'!$D$4:$D$24</c:f>
              <c:numCache>
                <c:formatCode>0.0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13</c:v>
                </c:pt>
                <c:pt idx="3">
                  <c:v>24.666666666666664</c:v>
                </c:pt>
                <c:pt idx="4">
                  <c:v>34.666666666666664</c:v>
                </c:pt>
                <c:pt idx="5">
                  <c:v>44.666666666666664</c:v>
                </c:pt>
                <c:pt idx="6">
                  <c:v>54.666666666666664</c:v>
                </c:pt>
                <c:pt idx="7">
                  <c:v>57.666666666666664</c:v>
                </c:pt>
                <c:pt idx="8">
                  <c:v>57.666666666666664</c:v>
                </c:pt>
                <c:pt idx="9">
                  <c:v>60.666666666666664</c:v>
                </c:pt>
                <c:pt idx="10">
                  <c:v>66.666666666666657</c:v>
                </c:pt>
                <c:pt idx="11">
                  <c:v>76.666666666666657</c:v>
                </c:pt>
                <c:pt idx="12">
                  <c:v>86.666666666666657</c:v>
                </c:pt>
                <c:pt idx="13">
                  <c:v>116.66666666666666</c:v>
                </c:pt>
                <c:pt idx="14">
                  <c:v>119.66666666666666</c:v>
                </c:pt>
                <c:pt idx="15">
                  <c:v>119.66666666666666</c:v>
                </c:pt>
                <c:pt idx="16">
                  <c:v>122.66666666666666</c:v>
                </c:pt>
                <c:pt idx="17">
                  <c:v>134.33333333333331</c:v>
                </c:pt>
                <c:pt idx="18">
                  <c:v>144.33333333333331</c:v>
                </c:pt>
                <c:pt idx="19">
                  <c:v>147.33333333333331</c:v>
                </c:pt>
                <c:pt idx="20">
                  <c:v>157.33333333333331</c:v>
                </c:pt>
              </c:numCache>
            </c:numRef>
          </c:xVal>
          <c:yVal>
            <c:numRef>
              <c:f>'Tripla Tradiconal'!$G$4:$G$24</c:f>
              <c:numCache>
                <c:formatCode>General</c:formatCode>
                <c:ptCount val="21"/>
                <c:pt idx="2">
                  <c:v>35</c:v>
                </c:pt>
                <c:pt idx="3">
                  <c:v>70</c:v>
                </c:pt>
                <c:pt idx="4">
                  <c:v>70</c:v>
                </c:pt>
                <c:pt idx="5">
                  <c:v>100</c:v>
                </c:pt>
                <c:pt idx="6">
                  <c:v>100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70</c:v>
                </c:pt>
                <c:pt idx="11">
                  <c:v>70</c:v>
                </c:pt>
                <c:pt idx="12">
                  <c:v>100</c:v>
                </c:pt>
                <c:pt idx="13">
                  <c:v>100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100</c:v>
                </c:pt>
                <c:pt idx="18">
                  <c:v>100</c:v>
                </c:pt>
                <c:pt idx="19">
                  <c:v>75</c:v>
                </c:pt>
                <c:pt idx="2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9D-42CD-AB0C-CE4BAFB1F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216095"/>
        <c:axId val="248216511"/>
      </c:scatterChart>
      <c:valAx>
        <c:axId val="2482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(min)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511"/>
        <c:crosses val="autoZero"/>
        <c:crossBetween val="midCat"/>
      </c:valAx>
      <c:valAx>
        <c:axId val="248216511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095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372721148124153"/>
          <c:y val="0.66760091749760608"/>
          <c:w val="0.31208040404017218"/>
          <c:h val="0.13309506524450401"/>
        </c:manualLayout>
      </c:layout>
      <c:overlay val="1"/>
      <c:spPr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'Dupla Tradicional'!$F$3</c:f>
              <c:strCache>
                <c:ptCount val="1"/>
                <c:pt idx="0">
                  <c:v>Tina de Mostura (°C)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'Dupla Tradicional'!$D$4:$D$17</c:f>
              <c:numCache>
                <c:formatCode>0.0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24</c:v>
                </c:pt>
                <c:pt idx="4">
                  <c:v>34</c:v>
                </c:pt>
                <c:pt idx="5">
                  <c:v>49</c:v>
                </c:pt>
                <c:pt idx="6">
                  <c:v>79</c:v>
                </c:pt>
                <c:pt idx="7">
                  <c:v>84</c:v>
                </c:pt>
                <c:pt idx="8">
                  <c:v>84</c:v>
                </c:pt>
                <c:pt idx="9">
                  <c:v>89</c:v>
                </c:pt>
                <c:pt idx="10">
                  <c:v>106.5</c:v>
                </c:pt>
                <c:pt idx="11">
                  <c:v>121.5</c:v>
                </c:pt>
                <c:pt idx="12">
                  <c:v>126.5</c:v>
                </c:pt>
                <c:pt idx="13">
                  <c:v>136.5</c:v>
                </c:pt>
              </c:numCache>
            </c:numRef>
          </c:xVal>
          <c:yVal>
            <c:numRef>
              <c:f>'Dupla Tradicional'!$F$4:$F$17</c:f>
              <c:numCache>
                <c:formatCode>General</c:formatCode>
                <c:ptCount val="14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75</c:v>
                </c:pt>
                <c:pt idx="1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B-48A7-8D78-EF80250D4E88}"/>
            </c:ext>
          </c:extLst>
        </c:ser>
        <c:ser>
          <c:idx val="0"/>
          <c:order val="1"/>
          <c:tx>
            <c:strRef>
              <c:f>'Dupla Tradicional'!$G$3</c:f>
              <c:strCache>
                <c:ptCount val="1"/>
                <c:pt idx="0">
                  <c:v>Tina de Fervura (°C)</c:v>
                </c:pt>
              </c:strCache>
            </c:strRef>
          </c:tx>
          <c:spPr>
            <a:ln w="19050" cap="rnd">
              <a:solidFill>
                <a:srgbClr val="EE801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'Dupla Tradicional'!$D$4:$D$17</c:f>
              <c:numCache>
                <c:formatCode>0.0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24</c:v>
                </c:pt>
                <c:pt idx="4">
                  <c:v>34</c:v>
                </c:pt>
                <c:pt idx="5">
                  <c:v>49</c:v>
                </c:pt>
                <c:pt idx="6">
                  <c:v>79</c:v>
                </c:pt>
                <c:pt idx="7">
                  <c:v>84</c:v>
                </c:pt>
                <c:pt idx="8">
                  <c:v>84</c:v>
                </c:pt>
                <c:pt idx="9">
                  <c:v>89</c:v>
                </c:pt>
                <c:pt idx="10">
                  <c:v>106.5</c:v>
                </c:pt>
                <c:pt idx="11">
                  <c:v>121.5</c:v>
                </c:pt>
                <c:pt idx="12">
                  <c:v>126.5</c:v>
                </c:pt>
                <c:pt idx="13">
                  <c:v>136.5</c:v>
                </c:pt>
              </c:numCache>
            </c:numRef>
          </c:xVal>
          <c:yVal>
            <c:numRef>
              <c:f>'Dupla Tradicional'!$G$4:$G$17</c:f>
              <c:numCache>
                <c:formatCode>General</c:formatCode>
                <c:ptCount val="14"/>
                <c:pt idx="2">
                  <c:v>52</c:v>
                </c:pt>
                <c:pt idx="3">
                  <c:v>70</c:v>
                </c:pt>
                <c:pt idx="4">
                  <c:v>70</c:v>
                </c:pt>
                <c:pt idx="5">
                  <c:v>100</c:v>
                </c:pt>
                <c:pt idx="6">
                  <c:v>100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100</c:v>
                </c:pt>
                <c:pt idx="11">
                  <c:v>100</c:v>
                </c:pt>
                <c:pt idx="12">
                  <c:v>75</c:v>
                </c:pt>
                <c:pt idx="1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B-48A7-8D78-EF80250D4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216095"/>
        <c:axId val="248216511"/>
      </c:scatterChart>
      <c:valAx>
        <c:axId val="2482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(min)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511"/>
        <c:crosses val="autoZero"/>
        <c:crossBetween val="midCat"/>
      </c:valAx>
      <c:valAx>
        <c:axId val="248216511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095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372721148124153"/>
          <c:y val="0.66760091749760608"/>
          <c:w val="0.31208040404017218"/>
          <c:h val="0.13309506524450401"/>
        </c:manualLayout>
      </c:layout>
      <c:overlay val="1"/>
      <c:spPr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'Dupla Moderna'!$F$3</c:f>
              <c:strCache>
                <c:ptCount val="1"/>
                <c:pt idx="0">
                  <c:v>Tina de Mostura (°C)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'Dupla Moderna'!$D$4:$D$17</c:f>
              <c:numCache>
                <c:formatCode>0.0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32.5</c:v>
                </c:pt>
                <c:pt idx="4">
                  <c:v>42.5</c:v>
                </c:pt>
                <c:pt idx="5">
                  <c:v>57.5</c:v>
                </c:pt>
                <c:pt idx="6">
                  <c:v>87.5</c:v>
                </c:pt>
                <c:pt idx="7">
                  <c:v>92.5</c:v>
                </c:pt>
                <c:pt idx="8">
                  <c:v>92.5</c:v>
                </c:pt>
                <c:pt idx="9">
                  <c:v>97.5</c:v>
                </c:pt>
                <c:pt idx="10">
                  <c:v>114.5</c:v>
                </c:pt>
                <c:pt idx="11">
                  <c:v>129.5</c:v>
                </c:pt>
                <c:pt idx="12">
                  <c:v>134.5</c:v>
                </c:pt>
                <c:pt idx="13">
                  <c:v>144.5</c:v>
                </c:pt>
              </c:numCache>
            </c:numRef>
          </c:xVal>
          <c:yVal>
            <c:numRef>
              <c:f>'Dupla Moderna'!$F$4:$F$17</c:f>
              <c:numCache>
                <c:formatCode>General</c:formatCode>
                <c:ptCount val="1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76</c:v>
                </c:pt>
                <c:pt idx="1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3-460C-92DC-C955494F5613}"/>
            </c:ext>
          </c:extLst>
        </c:ser>
        <c:ser>
          <c:idx val="0"/>
          <c:order val="1"/>
          <c:tx>
            <c:strRef>
              <c:f>'Dupla Moderna'!$G$3</c:f>
              <c:strCache>
                <c:ptCount val="1"/>
                <c:pt idx="0">
                  <c:v>Tina de Fervura (°C)</c:v>
                </c:pt>
              </c:strCache>
            </c:strRef>
          </c:tx>
          <c:spPr>
            <a:ln w="19050" cap="rnd">
              <a:solidFill>
                <a:srgbClr val="EE801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'Dupla Moderna'!$D$4:$D$17</c:f>
              <c:numCache>
                <c:formatCode>0.0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32.5</c:v>
                </c:pt>
                <c:pt idx="4">
                  <c:v>42.5</c:v>
                </c:pt>
                <c:pt idx="5">
                  <c:v>57.5</c:v>
                </c:pt>
                <c:pt idx="6">
                  <c:v>87.5</c:v>
                </c:pt>
                <c:pt idx="7">
                  <c:v>92.5</c:v>
                </c:pt>
                <c:pt idx="8">
                  <c:v>92.5</c:v>
                </c:pt>
                <c:pt idx="9">
                  <c:v>97.5</c:v>
                </c:pt>
                <c:pt idx="10">
                  <c:v>114.5</c:v>
                </c:pt>
                <c:pt idx="11">
                  <c:v>129.5</c:v>
                </c:pt>
                <c:pt idx="12">
                  <c:v>134.5</c:v>
                </c:pt>
                <c:pt idx="13">
                  <c:v>144.5</c:v>
                </c:pt>
              </c:numCache>
            </c:numRef>
          </c:xVal>
          <c:yVal>
            <c:numRef>
              <c:f>'Dupla Moderna'!$G$4:$G$17</c:f>
              <c:numCache>
                <c:formatCode>General</c:formatCode>
                <c:ptCount val="14"/>
                <c:pt idx="2">
                  <c:v>35</c:v>
                </c:pt>
                <c:pt idx="3">
                  <c:v>70</c:v>
                </c:pt>
                <c:pt idx="4">
                  <c:v>70</c:v>
                </c:pt>
                <c:pt idx="5">
                  <c:v>100</c:v>
                </c:pt>
                <c:pt idx="6">
                  <c:v>100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100</c:v>
                </c:pt>
                <c:pt idx="11">
                  <c:v>100</c:v>
                </c:pt>
                <c:pt idx="12">
                  <c:v>76</c:v>
                </c:pt>
                <c:pt idx="1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3-460C-92DC-C955494F5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216095"/>
        <c:axId val="248216511"/>
      </c:scatterChart>
      <c:valAx>
        <c:axId val="2482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(min)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511"/>
        <c:crosses val="autoZero"/>
        <c:crossBetween val="midCat"/>
      </c:valAx>
      <c:valAx>
        <c:axId val="248216511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095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372721148124153"/>
          <c:y val="0.66760091749760608"/>
          <c:w val="0.31208040404017218"/>
          <c:h val="0.13309506524450401"/>
        </c:manualLayout>
      </c:layout>
      <c:overlay val="1"/>
      <c:spPr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Simples!$F$3</c:f>
              <c:strCache>
                <c:ptCount val="1"/>
                <c:pt idx="0">
                  <c:v>Tina de Mostura (°C)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Simples!$D$4:$D$15</c:f>
              <c:numCache>
                <c:formatCode>0.0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40</c:v>
                </c:pt>
                <c:pt idx="5">
                  <c:v>54</c:v>
                </c:pt>
                <c:pt idx="6">
                  <c:v>69</c:v>
                </c:pt>
                <c:pt idx="7">
                  <c:v>74</c:v>
                </c:pt>
                <c:pt idx="8">
                  <c:v>89</c:v>
                </c:pt>
                <c:pt idx="9">
                  <c:v>94</c:v>
                </c:pt>
                <c:pt idx="10">
                  <c:v>96.5</c:v>
                </c:pt>
                <c:pt idx="11">
                  <c:v>106.5</c:v>
                </c:pt>
              </c:numCache>
            </c:numRef>
          </c:xVal>
          <c:yVal>
            <c:numRef>
              <c:f>Simples!$F$4:$F$15</c:f>
              <c:numCache>
                <c:formatCode>General</c:formatCode>
                <c:ptCount val="12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77</c:v>
                </c:pt>
                <c:pt idx="1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5CA-BEFB-E906E04AAAD4}"/>
            </c:ext>
          </c:extLst>
        </c:ser>
        <c:ser>
          <c:idx val="0"/>
          <c:order val="1"/>
          <c:tx>
            <c:strRef>
              <c:f>Simples!$G$3</c:f>
              <c:strCache>
                <c:ptCount val="1"/>
                <c:pt idx="0">
                  <c:v>Tina de Fervura (°C)</c:v>
                </c:pt>
              </c:strCache>
            </c:strRef>
          </c:tx>
          <c:spPr>
            <a:ln w="19050" cap="rnd">
              <a:solidFill>
                <a:srgbClr val="EE801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Simples!$D$4:$D$15</c:f>
              <c:numCache>
                <c:formatCode>0.0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40</c:v>
                </c:pt>
                <c:pt idx="5">
                  <c:v>54</c:v>
                </c:pt>
                <c:pt idx="6">
                  <c:v>69</c:v>
                </c:pt>
                <c:pt idx="7">
                  <c:v>74</c:v>
                </c:pt>
                <c:pt idx="8">
                  <c:v>89</c:v>
                </c:pt>
                <c:pt idx="9">
                  <c:v>94</c:v>
                </c:pt>
                <c:pt idx="10">
                  <c:v>96.5</c:v>
                </c:pt>
                <c:pt idx="11">
                  <c:v>106.5</c:v>
                </c:pt>
              </c:numCache>
            </c:numRef>
          </c:xVal>
          <c:yVal>
            <c:numRef>
              <c:f>Simples!$G$4:$G$15</c:f>
              <c:numCache>
                <c:formatCode>General</c:formatCode>
                <c:ptCount val="12"/>
                <c:pt idx="2">
                  <c:v>62</c:v>
                </c:pt>
                <c:pt idx="3">
                  <c:v>72</c:v>
                </c:pt>
                <c:pt idx="4">
                  <c:v>72</c:v>
                </c:pt>
                <c:pt idx="5">
                  <c:v>100</c:v>
                </c:pt>
                <c:pt idx="6">
                  <c:v>100</c:v>
                </c:pt>
                <c:pt idx="7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3E-45CA-BEFB-E906E04A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216095"/>
        <c:axId val="248216511"/>
      </c:scatterChart>
      <c:valAx>
        <c:axId val="2482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(min)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511"/>
        <c:crosses val="autoZero"/>
        <c:crossBetween val="midCat"/>
      </c:valAx>
      <c:valAx>
        <c:axId val="248216511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48216095"/>
        <c:crosses val="autoZero"/>
        <c:crossBetween val="midCat"/>
        <c:majorUnit val="1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372721148124153"/>
          <c:y val="0.66760091749760608"/>
          <c:w val="0.31208040404017218"/>
          <c:h val="0.13309506524450401"/>
        </c:manualLayout>
      </c:layout>
      <c:overlay val="1"/>
      <c:spPr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125379</xdr:colOff>
      <xdr:row>2</xdr:row>
      <xdr:rowOff>502670</xdr:rowOff>
    </xdr:from>
    <xdr:to>
      <xdr:col>20</xdr:col>
      <xdr:colOff>542574</xdr:colOff>
      <xdr:row>24</xdr:row>
      <xdr:rowOff>50937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80A5E8-517F-1919-32AC-3A6BB010A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59119</xdr:colOff>
      <xdr:row>1</xdr:row>
      <xdr:rowOff>187930</xdr:rowOff>
    </xdr:from>
    <xdr:to>
      <xdr:col>20</xdr:col>
      <xdr:colOff>476314</xdr:colOff>
      <xdr:row>24</xdr:row>
      <xdr:rowOff>1241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01BBF-33F1-4FB3-907B-D16B191CF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489814</xdr:colOff>
      <xdr:row>2</xdr:row>
      <xdr:rowOff>22277</xdr:rowOff>
    </xdr:from>
    <xdr:to>
      <xdr:col>20</xdr:col>
      <xdr:colOff>318944</xdr:colOff>
      <xdr:row>24</xdr:row>
      <xdr:rowOff>34371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4F15DE-B801-423F-9374-73E7BCF77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9422</xdr:colOff>
      <xdr:row>2</xdr:row>
      <xdr:rowOff>477823</xdr:rowOff>
    </xdr:from>
    <xdr:to>
      <xdr:col>20</xdr:col>
      <xdr:colOff>426617</xdr:colOff>
      <xdr:row>27</xdr:row>
      <xdr:rowOff>9526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10FC09-76FD-46B2-AA46-7A2D29CB0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0588-B207-47DF-98BA-5D81F33D9118}">
  <dimension ref="A2:G100"/>
  <sheetViews>
    <sheetView tabSelected="1" zoomScaleNormal="100" workbookViewId="0">
      <selection activeCell="F27" sqref="F27"/>
    </sheetView>
  </sheetViews>
  <sheetFormatPr defaultColWidth="8.85546875" defaultRowHeight="15" x14ac:dyDescent="0.25"/>
  <cols>
    <col min="1" max="1" width="3.85546875" style="1" customWidth="1"/>
    <col min="2" max="2" width="33.28515625" style="2" bestFit="1" customWidth="1"/>
    <col min="3" max="7" width="11" style="2" customWidth="1"/>
    <col min="8" max="16384" width="8.85546875" style="1"/>
  </cols>
  <sheetData>
    <row r="2" spans="2:7" ht="15.75" thickBot="1" x14ac:dyDescent="0.3"/>
    <row r="3" spans="2:7" ht="54" customHeight="1" thickBot="1" x14ac:dyDescent="0.3">
      <c r="B3" s="11" t="s">
        <v>0</v>
      </c>
      <c r="C3" s="12" t="s">
        <v>15</v>
      </c>
      <c r="D3" s="12" t="s">
        <v>16</v>
      </c>
      <c r="E3" s="12" t="s">
        <v>17</v>
      </c>
      <c r="F3" s="12" t="s">
        <v>18</v>
      </c>
      <c r="G3" s="13" t="s">
        <v>19</v>
      </c>
    </row>
    <row r="4" spans="2:7" ht="18" customHeight="1" x14ac:dyDescent="0.25">
      <c r="B4" s="3" t="s">
        <v>1</v>
      </c>
      <c r="C4" s="5">
        <v>0</v>
      </c>
      <c r="D4" s="5">
        <v>0</v>
      </c>
      <c r="E4" s="5">
        <f t="shared" ref="E4:E24" si="0">D4/60</f>
        <v>0</v>
      </c>
      <c r="F4" s="4">
        <v>35</v>
      </c>
      <c r="G4" s="6"/>
    </row>
    <row r="5" spans="2:7" ht="18" customHeight="1" x14ac:dyDescent="0.25">
      <c r="B5" s="3" t="s">
        <v>2</v>
      </c>
      <c r="C5" s="5">
        <v>10</v>
      </c>
      <c r="D5" s="5">
        <f t="shared" ref="D5:D24" si="1">C5+D4</f>
        <v>10</v>
      </c>
      <c r="E5" s="5">
        <f t="shared" si="0"/>
        <v>0.16666666666666666</v>
      </c>
      <c r="F5" s="4">
        <v>35</v>
      </c>
      <c r="G5" s="6"/>
    </row>
    <row r="6" spans="2:7" ht="18" customHeight="1" x14ac:dyDescent="0.25">
      <c r="B6" s="3" t="s">
        <v>5</v>
      </c>
      <c r="C6" s="5">
        <f>C31</f>
        <v>3</v>
      </c>
      <c r="D6" s="5">
        <f t="shared" si="1"/>
        <v>13</v>
      </c>
      <c r="E6" s="5">
        <f t="shared" si="0"/>
        <v>0.21666666666666667</v>
      </c>
      <c r="F6" s="4">
        <v>35</v>
      </c>
      <c r="G6" s="6">
        <v>35</v>
      </c>
    </row>
    <row r="7" spans="2:7" ht="18" customHeight="1" x14ac:dyDescent="0.25">
      <c r="B7" s="3" t="s">
        <v>3</v>
      </c>
      <c r="C7" s="5">
        <f>(G7-G6)/C27</f>
        <v>11.666666666666666</v>
      </c>
      <c r="D7" s="5">
        <f t="shared" si="1"/>
        <v>24.666666666666664</v>
      </c>
      <c r="E7" s="5">
        <f t="shared" si="0"/>
        <v>0.41111111111111109</v>
      </c>
      <c r="F7" s="4">
        <v>35</v>
      </c>
      <c r="G7" s="6">
        <v>70</v>
      </c>
    </row>
    <row r="8" spans="2:7" ht="18" customHeight="1" x14ac:dyDescent="0.25">
      <c r="B8" s="3" t="s">
        <v>4</v>
      </c>
      <c r="C8" s="5">
        <v>10</v>
      </c>
      <c r="D8" s="5">
        <f t="shared" si="1"/>
        <v>34.666666666666664</v>
      </c>
      <c r="E8" s="5">
        <f t="shared" si="0"/>
        <v>0.57777777777777772</v>
      </c>
      <c r="F8" s="4">
        <v>35</v>
      </c>
      <c r="G8" s="6">
        <v>70</v>
      </c>
    </row>
    <row r="9" spans="2:7" ht="18" customHeight="1" x14ac:dyDescent="0.25">
      <c r="B9" s="3" t="s">
        <v>3</v>
      </c>
      <c r="C9" s="5">
        <f>(G9-G8)/C27</f>
        <v>10</v>
      </c>
      <c r="D9" s="5">
        <f t="shared" si="1"/>
        <v>44.666666666666664</v>
      </c>
      <c r="E9" s="5">
        <f t="shared" si="0"/>
        <v>0.74444444444444435</v>
      </c>
      <c r="F9" s="4">
        <v>35</v>
      </c>
      <c r="G9" s="6">
        <v>100</v>
      </c>
    </row>
    <row r="10" spans="2:7" ht="18" customHeight="1" x14ac:dyDescent="0.25">
      <c r="B10" s="3" t="s">
        <v>8</v>
      </c>
      <c r="C10" s="5">
        <f>C28</f>
        <v>10</v>
      </c>
      <c r="D10" s="5">
        <f t="shared" si="1"/>
        <v>54.666666666666664</v>
      </c>
      <c r="E10" s="5">
        <f t="shared" si="0"/>
        <v>0.91111111111111109</v>
      </c>
      <c r="F10" s="4">
        <v>35</v>
      </c>
      <c r="G10" s="6">
        <v>100</v>
      </c>
    </row>
    <row r="11" spans="2:7" ht="18" customHeight="1" x14ac:dyDescent="0.25">
      <c r="B11" s="3" t="s">
        <v>6</v>
      </c>
      <c r="C11" s="5">
        <f>C31</f>
        <v>3</v>
      </c>
      <c r="D11" s="5">
        <f t="shared" si="1"/>
        <v>57.666666666666664</v>
      </c>
      <c r="E11" s="5">
        <f t="shared" si="0"/>
        <v>0.96111111111111103</v>
      </c>
      <c r="F11" s="4">
        <v>52</v>
      </c>
      <c r="G11" s="6">
        <v>52</v>
      </c>
    </row>
    <row r="12" spans="2:7" ht="18" customHeight="1" x14ac:dyDescent="0.25">
      <c r="B12" s="3" t="s">
        <v>7</v>
      </c>
      <c r="C12" s="5">
        <v>0</v>
      </c>
      <c r="D12" s="5">
        <f t="shared" si="1"/>
        <v>57.666666666666664</v>
      </c>
      <c r="E12" s="5">
        <f t="shared" si="0"/>
        <v>0.96111111111111103</v>
      </c>
      <c r="F12" s="4">
        <v>52</v>
      </c>
      <c r="G12" s="6">
        <v>52</v>
      </c>
    </row>
    <row r="13" spans="2:7" ht="18" customHeight="1" x14ac:dyDescent="0.25">
      <c r="B13" s="3" t="s">
        <v>5</v>
      </c>
      <c r="C13" s="5">
        <f>C31</f>
        <v>3</v>
      </c>
      <c r="D13" s="5">
        <f t="shared" si="1"/>
        <v>60.666666666666664</v>
      </c>
      <c r="E13" s="5">
        <f t="shared" si="0"/>
        <v>1.0111111111111111</v>
      </c>
      <c r="F13" s="4">
        <v>52</v>
      </c>
      <c r="G13" s="6">
        <v>52</v>
      </c>
    </row>
    <row r="14" spans="2:7" ht="18" customHeight="1" x14ac:dyDescent="0.25">
      <c r="B14" s="3" t="s">
        <v>9</v>
      </c>
      <c r="C14" s="5">
        <f>(G14-G13)/C27</f>
        <v>6</v>
      </c>
      <c r="D14" s="5">
        <f t="shared" si="1"/>
        <v>66.666666666666657</v>
      </c>
      <c r="E14" s="5">
        <f t="shared" si="0"/>
        <v>1.1111111111111109</v>
      </c>
      <c r="F14" s="4">
        <v>52</v>
      </c>
      <c r="G14" s="6">
        <v>70</v>
      </c>
    </row>
    <row r="15" spans="2:7" ht="18" customHeight="1" x14ac:dyDescent="0.25">
      <c r="B15" s="3" t="s">
        <v>4</v>
      </c>
      <c r="C15" s="5">
        <v>10</v>
      </c>
      <c r="D15" s="5">
        <f t="shared" si="1"/>
        <v>76.666666666666657</v>
      </c>
      <c r="E15" s="5">
        <f t="shared" si="0"/>
        <v>1.2777777777777777</v>
      </c>
      <c r="F15" s="4">
        <v>52</v>
      </c>
      <c r="G15" s="6">
        <v>70</v>
      </c>
    </row>
    <row r="16" spans="2:7" ht="18" customHeight="1" x14ac:dyDescent="0.25">
      <c r="B16" s="3" t="s">
        <v>9</v>
      </c>
      <c r="C16" s="5">
        <f>(G16-G15)/C27</f>
        <v>10</v>
      </c>
      <c r="D16" s="5">
        <f t="shared" si="1"/>
        <v>86.666666666666657</v>
      </c>
      <c r="E16" s="5">
        <f t="shared" si="0"/>
        <v>1.4444444444444442</v>
      </c>
      <c r="F16" s="4">
        <v>52</v>
      </c>
      <c r="G16" s="6">
        <v>100</v>
      </c>
    </row>
    <row r="17" spans="2:7" ht="18" customHeight="1" x14ac:dyDescent="0.25">
      <c r="B17" s="3" t="s">
        <v>10</v>
      </c>
      <c r="C17" s="5">
        <f>C29</f>
        <v>30</v>
      </c>
      <c r="D17" s="5">
        <f t="shared" si="1"/>
        <v>116.66666666666666</v>
      </c>
      <c r="E17" s="5">
        <f t="shared" si="0"/>
        <v>1.9444444444444442</v>
      </c>
      <c r="F17" s="4">
        <v>52</v>
      </c>
      <c r="G17" s="6">
        <v>100</v>
      </c>
    </row>
    <row r="18" spans="2:7" ht="18" customHeight="1" x14ac:dyDescent="0.25">
      <c r="B18" s="3" t="s">
        <v>6</v>
      </c>
      <c r="C18" s="5">
        <f>C31</f>
        <v>3</v>
      </c>
      <c r="D18" s="5">
        <f t="shared" si="1"/>
        <v>119.66666666666666</v>
      </c>
      <c r="E18" s="5">
        <f t="shared" si="0"/>
        <v>1.9944444444444442</v>
      </c>
      <c r="F18" s="4">
        <v>65</v>
      </c>
      <c r="G18" s="6">
        <v>65</v>
      </c>
    </row>
    <row r="19" spans="2:7" ht="18" customHeight="1" x14ac:dyDescent="0.25">
      <c r="B19" s="3" t="s">
        <v>11</v>
      </c>
      <c r="C19" s="5">
        <v>0</v>
      </c>
      <c r="D19" s="5">
        <f t="shared" si="1"/>
        <v>119.66666666666666</v>
      </c>
      <c r="E19" s="5">
        <f t="shared" si="0"/>
        <v>1.9944444444444442</v>
      </c>
      <c r="F19" s="4">
        <v>65</v>
      </c>
      <c r="G19" s="6">
        <v>65</v>
      </c>
    </row>
    <row r="20" spans="2:7" ht="18" customHeight="1" x14ac:dyDescent="0.25">
      <c r="B20" s="3" t="s">
        <v>5</v>
      </c>
      <c r="C20" s="5">
        <f>C31</f>
        <v>3</v>
      </c>
      <c r="D20" s="5">
        <f t="shared" si="1"/>
        <v>122.66666666666666</v>
      </c>
      <c r="E20" s="5">
        <f t="shared" si="0"/>
        <v>2.0444444444444443</v>
      </c>
      <c r="F20" s="4">
        <v>65</v>
      </c>
      <c r="G20" s="6">
        <v>65</v>
      </c>
    </row>
    <row r="21" spans="2:7" ht="18" customHeight="1" x14ac:dyDescent="0.25">
      <c r="B21" s="3" t="s">
        <v>12</v>
      </c>
      <c r="C21" s="5">
        <f>(G21-G20)/C27</f>
        <v>11.666666666666666</v>
      </c>
      <c r="D21" s="5">
        <f t="shared" si="1"/>
        <v>134.33333333333331</v>
      </c>
      <c r="E21" s="5">
        <f t="shared" si="0"/>
        <v>2.2388888888888885</v>
      </c>
      <c r="F21" s="4">
        <v>65</v>
      </c>
      <c r="G21" s="6">
        <v>100</v>
      </c>
    </row>
    <row r="22" spans="2:7" ht="18" customHeight="1" x14ac:dyDescent="0.25">
      <c r="B22" s="3" t="s">
        <v>13</v>
      </c>
      <c r="C22" s="5">
        <f>C28</f>
        <v>10</v>
      </c>
      <c r="D22" s="5">
        <f t="shared" si="1"/>
        <v>144.33333333333331</v>
      </c>
      <c r="E22" s="5">
        <f t="shared" si="0"/>
        <v>2.4055555555555554</v>
      </c>
      <c r="F22" s="4">
        <v>65</v>
      </c>
      <c r="G22" s="6">
        <v>100</v>
      </c>
    </row>
    <row r="23" spans="2:7" ht="18" customHeight="1" x14ac:dyDescent="0.25">
      <c r="B23" s="3" t="s">
        <v>6</v>
      </c>
      <c r="C23" s="5">
        <f>C31</f>
        <v>3</v>
      </c>
      <c r="D23" s="5">
        <f t="shared" si="1"/>
        <v>147.33333333333331</v>
      </c>
      <c r="E23" s="5">
        <f t="shared" si="0"/>
        <v>2.4555555555555553</v>
      </c>
      <c r="F23" s="4">
        <v>75</v>
      </c>
      <c r="G23" s="6">
        <v>75</v>
      </c>
    </row>
    <row r="24" spans="2:7" ht="18" customHeight="1" thickBot="1" x14ac:dyDescent="0.3">
      <c r="B24" s="7" t="s">
        <v>14</v>
      </c>
      <c r="C24" s="9">
        <v>10</v>
      </c>
      <c r="D24" s="9">
        <f t="shared" si="1"/>
        <v>157.33333333333331</v>
      </c>
      <c r="E24" s="9">
        <f t="shared" si="0"/>
        <v>2.6222222222222218</v>
      </c>
      <c r="F24" s="8">
        <v>75</v>
      </c>
      <c r="G24" s="10">
        <v>75</v>
      </c>
    </row>
    <row r="26" spans="2:7" ht="15.75" thickBot="1" x14ac:dyDescent="0.3"/>
    <row r="27" spans="2:7" x14ac:dyDescent="0.25">
      <c r="B27" s="14" t="s">
        <v>21</v>
      </c>
      <c r="C27" s="15">
        <v>3</v>
      </c>
      <c r="D27" s="16" t="s">
        <v>22</v>
      </c>
    </row>
    <row r="28" spans="2:7" x14ac:dyDescent="0.25">
      <c r="B28" s="3" t="s">
        <v>26</v>
      </c>
      <c r="C28" s="4">
        <v>10</v>
      </c>
      <c r="D28" s="6" t="s">
        <v>20</v>
      </c>
    </row>
    <row r="29" spans="2:7" x14ac:dyDescent="0.25">
      <c r="B29" s="3" t="s">
        <v>26</v>
      </c>
      <c r="C29" s="4">
        <v>30</v>
      </c>
      <c r="D29" s="6" t="s">
        <v>20</v>
      </c>
    </row>
    <row r="30" spans="2:7" x14ac:dyDescent="0.25">
      <c r="B30" s="3" t="s">
        <v>26</v>
      </c>
      <c r="C30" s="5">
        <v>5</v>
      </c>
      <c r="D30" s="6" t="s">
        <v>20</v>
      </c>
    </row>
    <row r="31" spans="2:7" ht="15.75" thickBot="1" x14ac:dyDescent="0.3">
      <c r="B31" s="7" t="s">
        <v>23</v>
      </c>
      <c r="C31" s="8">
        <v>3</v>
      </c>
      <c r="D31" s="10" t="s">
        <v>20</v>
      </c>
    </row>
    <row r="100" spans="1:1" x14ac:dyDescent="0.25">
      <c r="A100" s="21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CA54-122C-4772-8E48-FF90F548B521}">
  <dimension ref="B2:G23"/>
  <sheetViews>
    <sheetView zoomScaleNormal="100" workbookViewId="0">
      <selection activeCell="C21" sqref="C21"/>
    </sheetView>
  </sheetViews>
  <sheetFormatPr defaultColWidth="8.85546875" defaultRowHeight="15" x14ac:dyDescent="0.25"/>
  <cols>
    <col min="1" max="1" width="3.85546875" style="1" customWidth="1"/>
    <col min="2" max="2" width="33.28515625" style="2" bestFit="1" customWidth="1"/>
    <col min="3" max="7" width="11" style="2" customWidth="1"/>
    <col min="8" max="16384" width="8.85546875" style="1"/>
  </cols>
  <sheetData>
    <row r="2" spans="2:7" ht="15.75" thickBot="1" x14ac:dyDescent="0.3"/>
    <row r="3" spans="2:7" ht="54" customHeight="1" thickBot="1" x14ac:dyDescent="0.3">
      <c r="B3" s="11" t="s">
        <v>0</v>
      </c>
      <c r="C3" s="12" t="s">
        <v>15</v>
      </c>
      <c r="D3" s="12" t="s">
        <v>16</v>
      </c>
      <c r="E3" s="12" t="s">
        <v>17</v>
      </c>
      <c r="F3" s="12" t="s">
        <v>18</v>
      </c>
      <c r="G3" s="13" t="s">
        <v>19</v>
      </c>
    </row>
    <row r="4" spans="2:7" ht="18" customHeight="1" x14ac:dyDescent="0.25">
      <c r="B4" s="3" t="s">
        <v>1</v>
      </c>
      <c r="C4" s="5">
        <v>0</v>
      </c>
      <c r="D4" s="5">
        <v>0</v>
      </c>
      <c r="E4" s="5">
        <f t="shared" ref="E4:E14" si="0">D4/60</f>
        <v>0</v>
      </c>
      <c r="F4" s="4">
        <v>52</v>
      </c>
      <c r="G4" s="6"/>
    </row>
    <row r="5" spans="2:7" ht="18" customHeight="1" x14ac:dyDescent="0.25">
      <c r="B5" s="3" t="s">
        <v>7</v>
      </c>
      <c r="C5" s="5">
        <v>10</v>
      </c>
      <c r="D5" s="5">
        <f t="shared" ref="D5:D14" si="1">C5+D4</f>
        <v>10</v>
      </c>
      <c r="E5" s="5">
        <f t="shared" si="0"/>
        <v>0.16666666666666666</v>
      </c>
      <c r="F5" s="4">
        <v>52</v>
      </c>
      <c r="G5" s="6"/>
    </row>
    <row r="6" spans="2:7" ht="18" customHeight="1" x14ac:dyDescent="0.25">
      <c r="B6" s="3" t="s">
        <v>5</v>
      </c>
      <c r="C6" s="5">
        <f>C23</f>
        <v>5</v>
      </c>
      <c r="D6" s="5">
        <f t="shared" si="1"/>
        <v>15</v>
      </c>
      <c r="E6" s="5">
        <f t="shared" si="0"/>
        <v>0.25</v>
      </c>
      <c r="F6" s="4">
        <v>52</v>
      </c>
      <c r="G6" s="6">
        <v>52</v>
      </c>
    </row>
    <row r="7" spans="2:7" ht="18" customHeight="1" x14ac:dyDescent="0.25">
      <c r="B7" s="3" t="s">
        <v>3</v>
      </c>
      <c r="C7" s="5">
        <f>(G7-G6)/C20</f>
        <v>9</v>
      </c>
      <c r="D7" s="5">
        <f t="shared" si="1"/>
        <v>24</v>
      </c>
      <c r="E7" s="5">
        <f t="shared" si="0"/>
        <v>0.4</v>
      </c>
      <c r="F7" s="4">
        <v>52</v>
      </c>
      <c r="G7" s="6">
        <v>70</v>
      </c>
    </row>
    <row r="8" spans="2:7" ht="18" customHeight="1" x14ac:dyDescent="0.25">
      <c r="B8" s="3" t="s">
        <v>4</v>
      </c>
      <c r="C8" s="5">
        <v>10</v>
      </c>
      <c r="D8" s="5">
        <f t="shared" si="1"/>
        <v>34</v>
      </c>
      <c r="E8" s="5">
        <f t="shared" si="0"/>
        <v>0.56666666666666665</v>
      </c>
      <c r="F8" s="4">
        <v>52</v>
      </c>
      <c r="G8" s="6">
        <v>70</v>
      </c>
    </row>
    <row r="9" spans="2:7" ht="18" customHeight="1" x14ac:dyDescent="0.25">
      <c r="B9" s="3" t="s">
        <v>3</v>
      </c>
      <c r="C9" s="5">
        <f>(G9-G8)/C20</f>
        <v>15</v>
      </c>
      <c r="D9" s="5">
        <f t="shared" si="1"/>
        <v>49</v>
      </c>
      <c r="E9" s="5">
        <f t="shared" si="0"/>
        <v>0.81666666666666665</v>
      </c>
      <c r="F9" s="4">
        <v>52</v>
      </c>
      <c r="G9" s="6">
        <v>100</v>
      </c>
    </row>
    <row r="10" spans="2:7" ht="18" customHeight="1" x14ac:dyDescent="0.25">
      <c r="B10" s="3" t="s">
        <v>8</v>
      </c>
      <c r="C10" s="5">
        <f>C21</f>
        <v>30</v>
      </c>
      <c r="D10" s="5">
        <f t="shared" si="1"/>
        <v>79</v>
      </c>
      <c r="E10" s="5">
        <f t="shared" si="0"/>
        <v>1.3166666666666667</v>
      </c>
      <c r="F10" s="4">
        <v>52</v>
      </c>
      <c r="G10" s="6">
        <v>100</v>
      </c>
    </row>
    <row r="11" spans="2:7" ht="18" customHeight="1" x14ac:dyDescent="0.25">
      <c r="B11" s="3" t="s">
        <v>6</v>
      </c>
      <c r="C11" s="5">
        <f>C23</f>
        <v>5</v>
      </c>
      <c r="D11" s="5">
        <f t="shared" si="1"/>
        <v>84</v>
      </c>
      <c r="E11" s="5">
        <f t="shared" si="0"/>
        <v>1.4</v>
      </c>
      <c r="F11" s="4">
        <v>65</v>
      </c>
      <c r="G11" s="6">
        <v>65</v>
      </c>
    </row>
    <row r="12" spans="2:7" ht="18" customHeight="1" x14ac:dyDescent="0.25">
      <c r="B12" s="3" t="s">
        <v>28</v>
      </c>
      <c r="C12" s="5">
        <v>0</v>
      </c>
      <c r="D12" s="5">
        <f t="shared" si="1"/>
        <v>84</v>
      </c>
      <c r="E12" s="5">
        <f t="shared" si="0"/>
        <v>1.4</v>
      </c>
      <c r="F12" s="4">
        <v>65</v>
      </c>
      <c r="G12" s="6">
        <v>65</v>
      </c>
    </row>
    <row r="13" spans="2:7" ht="18" customHeight="1" x14ac:dyDescent="0.25">
      <c r="B13" s="3" t="s">
        <v>5</v>
      </c>
      <c r="C13" s="5">
        <f>C23</f>
        <v>5</v>
      </c>
      <c r="D13" s="5">
        <f t="shared" si="1"/>
        <v>89</v>
      </c>
      <c r="E13" s="5">
        <f t="shared" si="0"/>
        <v>1.4833333333333334</v>
      </c>
      <c r="F13" s="4">
        <v>65</v>
      </c>
      <c r="G13" s="6">
        <v>65</v>
      </c>
    </row>
    <row r="14" spans="2:7" ht="18" customHeight="1" x14ac:dyDescent="0.25">
      <c r="B14" s="3" t="s">
        <v>9</v>
      </c>
      <c r="C14" s="5">
        <f>(G14-G13)/C20</f>
        <v>17.5</v>
      </c>
      <c r="D14" s="5">
        <f t="shared" si="1"/>
        <v>106.5</v>
      </c>
      <c r="E14" s="5">
        <f t="shared" si="0"/>
        <v>1.7749999999999999</v>
      </c>
      <c r="F14" s="4">
        <v>65</v>
      </c>
      <c r="G14" s="6">
        <v>100</v>
      </c>
    </row>
    <row r="15" spans="2:7" ht="18" customHeight="1" x14ac:dyDescent="0.25">
      <c r="B15" s="3" t="s">
        <v>10</v>
      </c>
      <c r="C15" s="5">
        <f>C22</f>
        <v>15</v>
      </c>
      <c r="D15" s="5">
        <f>C15+D14</f>
        <v>121.5</v>
      </c>
      <c r="E15" s="5">
        <f>D15/60</f>
        <v>2.0249999999999999</v>
      </c>
      <c r="F15" s="4">
        <v>65</v>
      </c>
      <c r="G15" s="6">
        <v>100</v>
      </c>
    </row>
    <row r="16" spans="2:7" ht="18" customHeight="1" x14ac:dyDescent="0.25">
      <c r="B16" s="3" t="s">
        <v>6</v>
      </c>
      <c r="C16" s="5">
        <f>C23</f>
        <v>5</v>
      </c>
      <c r="D16" s="5">
        <f>C16+D15</f>
        <v>126.5</v>
      </c>
      <c r="E16" s="5">
        <f>D16/60</f>
        <v>2.1083333333333334</v>
      </c>
      <c r="F16" s="4">
        <v>75</v>
      </c>
      <c r="G16" s="6">
        <v>75</v>
      </c>
    </row>
    <row r="17" spans="2:7" ht="18" customHeight="1" thickBot="1" x14ac:dyDescent="0.3">
      <c r="B17" s="7" t="s">
        <v>24</v>
      </c>
      <c r="C17" s="9">
        <v>10</v>
      </c>
      <c r="D17" s="9">
        <f>C17+D16</f>
        <v>136.5</v>
      </c>
      <c r="E17" s="9">
        <f>D17/60</f>
        <v>2.2749999999999999</v>
      </c>
      <c r="F17" s="8">
        <v>75</v>
      </c>
      <c r="G17" s="10">
        <v>75</v>
      </c>
    </row>
    <row r="19" spans="2:7" ht="15.75" thickBot="1" x14ac:dyDescent="0.3"/>
    <row r="20" spans="2:7" x14ac:dyDescent="0.25">
      <c r="B20" s="17" t="s">
        <v>21</v>
      </c>
      <c r="C20" s="15">
        <v>2</v>
      </c>
      <c r="D20" s="16" t="s">
        <v>22</v>
      </c>
    </row>
    <row r="21" spans="2:7" x14ac:dyDescent="0.25">
      <c r="B21" s="18" t="s">
        <v>26</v>
      </c>
      <c r="C21" s="4">
        <v>30</v>
      </c>
      <c r="D21" s="6" t="s">
        <v>20</v>
      </c>
    </row>
    <row r="22" spans="2:7" x14ac:dyDescent="0.25">
      <c r="B22" s="19" t="s">
        <v>25</v>
      </c>
      <c r="C22" s="4">
        <v>15</v>
      </c>
      <c r="D22" s="6" t="s">
        <v>20</v>
      </c>
    </row>
    <row r="23" spans="2:7" ht="15.75" thickBot="1" x14ac:dyDescent="0.3">
      <c r="B23" s="20" t="s">
        <v>23</v>
      </c>
      <c r="C23" s="8">
        <v>5</v>
      </c>
      <c r="D23" s="10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78DE-EB87-407F-851F-FA17BB7668E5}">
  <dimension ref="B2:G23"/>
  <sheetViews>
    <sheetView zoomScale="115" zoomScaleNormal="115" workbookViewId="0">
      <selection activeCell="G24" sqref="G24"/>
    </sheetView>
  </sheetViews>
  <sheetFormatPr defaultColWidth="8.85546875" defaultRowHeight="15" x14ac:dyDescent="0.25"/>
  <cols>
    <col min="1" max="1" width="3.85546875" style="1" customWidth="1"/>
    <col min="2" max="2" width="33.28515625" style="2" bestFit="1" customWidth="1"/>
    <col min="3" max="7" width="11" style="2" customWidth="1"/>
    <col min="8" max="16384" width="8.85546875" style="1"/>
  </cols>
  <sheetData>
    <row r="2" spans="2:7" ht="15.75" thickBot="1" x14ac:dyDescent="0.3"/>
    <row r="3" spans="2:7" ht="54" customHeight="1" thickBot="1" x14ac:dyDescent="0.3">
      <c r="B3" s="11" t="s">
        <v>0</v>
      </c>
      <c r="C3" s="12" t="s">
        <v>15</v>
      </c>
      <c r="D3" s="12" t="s">
        <v>16</v>
      </c>
      <c r="E3" s="12" t="s">
        <v>17</v>
      </c>
      <c r="F3" s="12" t="s">
        <v>18</v>
      </c>
      <c r="G3" s="13" t="s">
        <v>19</v>
      </c>
    </row>
    <row r="4" spans="2:7" ht="18" customHeight="1" x14ac:dyDescent="0.25">
      <c r="B4" s="3" t="s">
        <v>1</v>
      </c>
      <c r="C4" s="5">
        <v>0</v>
      </c>
      <c r="D4" s="5">
        <v>0</v>
      </c>
      <c r="E4" s="5">
        <f t="shared" ref="E4:E13" si="0">D4/60</f>
        <v>0</v>
      </c>
      <c r="F4" s="4">
        <v>35</v>
      </c>
      <c r="G4" s="6"/>
    </row>
    <row r="5" spans="2:7" ht="18" customHeight="1" x14ac:dyDescent="0.25">
      <c r="B5" s="3" t="s">
        <v>2</v>
      </c>
      <c r="C5" s="5">
        <v>10</v>
      </c>
      <c r="D5" s="5">
        <f t="shared" ref="D5:D13" si="1">C5+D4</f>
        <v>10</v>
      </c>
      <c r="E5" s="5">
        <f t="shared" si="0"/>
        <v>0.16666666666666666</v>
      </c>
      <c r="F5" s="4">
        <v>35</v>
      </c>
      <c r="G5" s="6"/>
    </row>
    <row r="6" spans="2:7" ht="18" customHeight="1" x14ac:dyDescent="0.25">
      <c r="B6" s="3" t="s">
        <v>32</v>
      </c>
      <c r="C6" s="5">
        <f>C23</f>
        <v>5</v>
      </c>
      <c r="D6" s="5">
        <f t="shared" si="1"/>
        <v>15</v>
      </c>
      <c r="E6" s="5">
        <f t="shared" si="0"/>
        <v>0.25</v>
      </c>
      <c r="F6" s="4">
        <v>35</v>
      </c>
      <c r="G6" s="6">
        <v>35</v>
      </c>
    </row>
    <row r="7" spans="2:7" ht="18" customHeight="1" x14ac:dyDescent="0.25">
      <c r="B7" s="3" t="s">
        <v>3</v>
      </c>
      <c r="C7" s="5">
        <f>(G7-G6)/C20</f>
        <v>17.5</v>
      </c>
      <c r="D7" s="5">
        <f t="shared" si="1"/>
        <v>32.5</v>
      </c>
      <c r="E7" s="5">
        <f t="shared" si="0"/>
        <v>0.54166666666666663</v>
      </c>
      <c r="F7" s="4">
        <v>35</v>
      </c>
      <c r="G7" s="6">
        <v>70</v>
      </c>
    </row>
    <row r="8" spans="2:7" ht="18" customHeight="1" x14ac:dyDescent="0.25">
      <c r="B8" s="3" t="s">
        <v>4</v>
      </c>
      <c r="C8" s="5">
        <v>10</v>
      </c>
      <c r="D8" s="5">
        <f t="shared" si="1"/>
        <v>42.5</v>
      </c>
      <c r="E8" s="5">
        <f t="shared" si="0"/>
        <v>0.70833333333333337</v>
      </c>
      <c r="F8" s="4">
        <v>35</v>
      </c>
      <c r="G8" s="6">
        <v>70</v>
      </c>
    </row>
    <row r="9" spans="2:7" ht="18" customHeight="1" x14ac:dyDescent="0.25">
      <c r="B9" s="3" t="s">
        <v>3</v>
      </c>
      <c r="C9" s="5">
        <f>(G9-G8)/C20</f>
        <v>15</v>
      </c>
      <c r="D9" s="5">
        <f t="shared" si="1"/>
        <v>57.5</v>
      </c>
      <c r="E9" s="5">
        <f t="shared" si="0"/>
        <v>0.95833333333333337</v>
      </c>
      <c r="F9" s="4">
        <v>35</v>
      </c>
      <c r="G9" s="6">
        <v>100</v>
      </c>
    </row>
    <row r="10" spans="2:7" ht="18" customHeight="1" x14ac:dyDescent="0.25">
      <c r="B10" s="3" t="s">
        <v>8</v>
      </c>
      <c r="C10" s="5">
        <f>C21</f>
        <v>30</v>
      </c>
      <c r="D10" s="5">
        <f t="shared" si="1"/>
        <v>87.5</v>
      </c>
      <c r="E10" s="5">
        <f t="shared" si="0"/>
        <v>1.4583333333333333</v>
      </c>
      <c r="F10" s="4">
        <v>35</v>
      </c>
      <c r="G10" s="6">
        <v>100</v>
      </c>
    </row>
    <row r="11" spans="2:7" ht="18" customHeight="1" x14ac:dyDescent="0.25">
      <c r="B11" s="3" t="s">
        <v>6</v>
      </c>
      <c r="C11" s="5">
        <f>C23</f>
        <v>5</v>
      </c>
      <c r="D11" s="5">
        <f t="shared" si="1"/>
        <v>92.5</v>
      </c>
      <c r="E11" s="5">
        <f t="shared" si="0"/>
        <v>1.5416666666666667</v>
      </c>
      <c r="F11" s="4">
        <v>66</v>
      </c>
      <c r="G11" s="6">
        <v>66</v>
      </c>
    </row>
    <row r="12" spans="2:7" ht="18" customHeight="1" x14ac:dyDescent="0.25">
      <c r="B12" s="3" t="s">
        <v>28</v>
      </c>
      <c r="C12" s="5">
        <v>0</v>
      </c>
      <c r="D12" s="5">
        <f t="shared" si="1"/>
        <v>92.5</v>
      </c>
      <c r="E12" s="5">
        <f t="shared" si="0"/>
        <v>1.5416666666666667</v>
      </c>
      <c r="F12" s="4">
        <v>66</v>
      </c>
      <c r="G12" s="6">
        <v>66</v>
      </c>
    </row>
    <row r="13" spans="2:7" ht="18" customHeight="1" x14ac:dyDescent="0.25">
      <c r="B13" s="3" t="s">
        <v>5</v>
      </c>
      <c r="C13" s="5">
        <f>C23</f>
        <v>5</v>
      </c>
      <c r="D13" s="5">
        <f t="shared" si="1"/>
        <v>97.5</v>
      </c>
      <c r="E13" s="5">
        <f t="shared" si="0"/>
        <v>1.625</v>
      </c>
      <c r="F13" s="4">
        <v>66</v>
      </c>
      <c r="G13" s="6">
        <v>66</v>
      </c>
    </row>
    <row r="14" spans="2:7" ht="18" customHeight="1" x14ac:dyDescent="0.25">
      <c r="B14" s="3" t="s">
        <v>9</v>
      </c>
      <c r="C14" s="5">
        <f>(G14-G13)/C20</f>
        <v>17</v>
      </c>
      <c r="D14" s="5">
        <f t="shared" ref="D14" si="2">C14+D13</f>
        <v>114.5</v>
      </c>
      <c r="E14" s="5">
        <f t="shared" ref="E14" si="3">D14/60</f>
        <v>1.9083333333333334</v>
      </c>
      <c r="F14" s="4">
        <v>66</v>
      </c>
      <c r="G14" s="6">
        <v>100</v>
      </c>
    </row>
    <row r="15" spans="2:7" ht="18" customHeight="1" x14ac:dyDescent="0.25">
      <c r="B15" s="3" t="s">
        <v>10</v>
      </c>
      <c r="C15" s="5">
        <f>C22</f>
        <v>15</v>
      </c>
      <c r="D15" s="5">
        <f>C15+D14</f>
        <v>129.5</v>
      </c>
      <c r="E15" s="5">
        <f>D15/60</f>
        <v>2.1583333333333332</v>
      </c>
      <c r="F15" s="4">
        <v>66</v>
      </c>
      <c r="G15" s="6">
        <v>100</v>
      </c>
    </row>
    <row r="16" spans="2:7" ht="18" customHeight="1" x14ac:dyDescent="0.25">
      <c r="B16" s="3" t="s">
        <v>6</v>
      </c>
      <c r="C16" s="5">
        <f>C23</f>
        <v>5</v>
      </c>
      <c r="D16" s="5">
        <f>C16+D15</f>
        <v>134.5</v>
      </c>
      <c r="E16" s="5">
        <f>D16/60</f>
        <v>2.2416666666666667</v>
      </c>
      <c r="F16" s="4">
        <v>76</v>
      </c>
      <c r="G16" s="6">
        <v>76</v>
      </c>
    </row>
    <row r="17" spans="2:7" ht="18" customHeight="1" thickBot="1" x14ac:dyDescent="0.3">
      <c r="B17" s="7" t="s">
        <v>24</v>
      </c>
      <c r="C17" s="9">
        <v>10</v>
      </c>
      <c r="D17" s="9">
        <f>C17+D16</f>
        <v>144.5</v>
      </c>
      <c r="E17" s="9">
        <f>D17/60</f>
        <v>2.4083333333333332</v>
      </c>
      <c r="F17" s="8">
        <v>76</v>
      </c>
      <c r="G17" s="10">
        <v>76</v>
      </c>
    </row>
    <row r="19" spans="2:7" ht="15.75" thickBot="1" x14ac:dyDescent="0.3"/>
    <row r="20" spans="2:7" x14ac:dyDescent="0.25">
      <c r="B20" s="17" t="s">
        <v>21</v>
      </c>
      <c r="C20" s="15">
        <v>2</v>
      </c>
      <c r="D20" s="16" t="s">
        <v>22</v>
      </c>
    </row>
    <row r="21" spans="2:7" x14ac:dyDescent="0.25">
      <c r="B21" s="18" t="s">
        <v>26</v>
      </c>
      <c r="C21" s="4">
        <v>30</v>
      </c>
      <c r="D21" s="6"/>
    </row>
    <row r="22" spans="2:7" x14ac:dyDescent="0.25">
      <c r="B22" s="19" t="s">
        <v>25</v>
      </c>
      <c r="C22" s="4">
        <v>15</v>
      </c>
      <c r="D22" s="6" t="s">
        <v>20</v>
      </c>
    </row>
    <row r="23" spans="2:7" ht="15.75" thickBot="1" x14ac:dyDescent="0.3">
      <c r="B23" s="20" t="s">
        <v>23</v>
      </c>
      <c r="C23" s="8">
        <v>5</v>
      </c>
      <c r="D23" s="10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A83-0AEA-4AA7-B7DC-AB497A252778}">
  <dimension ref="B2:G20"/>
  <sheetViews>
    <sheetView zoomScale="115" zoomScaleNormal="115" workbookViewId="0"/>
  </sheetViews>
  <sheetFormatPr defaultColWidth="8.85546875" defaultRowHeight="15" x14ac:dyDescent="0.25"/>
  <cols>
    <col min="1" max="1" width="3.85546875" style="1" customWidth="1"/>
    <col min="2" max="2" width="33.28515625" style="2" bestFit="1" customWidth="1"/>
    <col min="3" max="7" width="11" style="2" customWidth="1"/>
    <col min="8" max="16384" width="8.85546875" style="1"/>
  </cols>
  <sheetData>
    <row r="2" spans="2:7" ht="15.75" thickBot="1" x14ac:dyDescent="0.3"/>
    <row r="3" spans="2:7" ht="54" customHeight="1" thickBot="1" x14ac:dyDescent="0.3">
      <c r="B3" s="11" t="s">
        <v>0</v>
      </c>
      <c r="C3" s="12" t="s">
        <v>15</v>
      </c>
      <c r="D3" s="12" t="s">
        <v>16</v>
      </c>
      <c r="E3" s="12" t="s">
        <v>17</v>
      </c>
      <c r="F3" s="12" t="s">
        <v>18</v>
      </c>
      <c r="G3" s="13" t="s">
        <v>19</v>
      </c>
    </row>
    <row r="4" spans="2:7" ht="18" customHeight="1" x14ac:dyDescent="0.25">
      <c r="B4" s="3" t="s">
        <v>1</v>
      </c>
      <c r="C4" s="5">
        <v>0</v>
      </c>
      <c r="D4" s="5">
        <v>0</v>
      </c>
      <c r="E4" s="5">
        <f t="shared" ref="E4:E15" si="0">D4/60</f>
        <v>0</v>
      </c>
      <c r="F4" s="4">
        <v>62</v>
      </c>
      <c r="G4" s="6"/>
    </row>
    <row r="5" spans="2:7" ht="18" customHeight="1" x14ac:dyDescent="0.25">
      <c r="B5" s="3" t="s">
        <v>30</v>
      </c>
      <c r="C5" s="5">
        <v>20</v>
      </c>
      <c r="D5" s="5">
        <f t="shared" ref="D5:D15" si="1">C5+D4</f>
        <v>20</v>
      </c>
      <c r="E5" s="5">
        <f t="shared" si="0"/>
        <v>0.33333333333333331</v>
      </c>
      <c r="F5" s="4">
        <v>62</v>
      </c>
      <c r="G5" s="6"/>
    </row>
    <row r="6" spans="2:7" ht="18" customHeight="1" x14ac:dyDescent="0.25">
      <c r="B6" s="3" t="s">
        <v>5</v>
      </c>
      <c r="C6" s="5">
        <f>C20</f>
        <v>5</v>
      </c>
      <c r="D6" s="5">
        <f t="shared" si="1"/>
        <v>25</v>
      </c>
      <c r="E6" s="5">
        <f t="shared" si="0"/>
        <v>0.41666666666666669</v>
      </c>
      <c r="F6" s="4">
        <v>62</v>
      </c>
      <c r="G6" s="6">
        <v>62</v>
      </c>
    </row>
    <row r="7" spans="2:7" ht="18" customHeight="1" x14ac:dyDescent="0.25">
      <c r="B7" s="3" t="s">
        <v>3</v>
      </c>
      <c r="C7" s="5">
        <f>(G7-G6)/C18</f>
        <v>5</v>
      </c>
      <c r="D7" s="5">
        <f t="shared" si="1"/>
        <v>30</v>
      </c>
      <c r="E7" s="5">
        <f t="shared" si="0"/>
        <v>0.5</v>
      </c>
      <c r="F7" s="4">
        <v>62</v>
      </c>
      <c r="G7" s="6">
        <v>72</v>
      </c>
    </row>
    <row r="8" spans="2:7" ht="18" customHeight="1" x14ac:dyDescent="0.25">
      <c r="B8" s="3" t="s">
        <v>4</v>
      </c>
      <c r="C8" s="5">
        <v>10</v>
      </c>
      <c r="D8" s="5">
        <f t="shared" si="1"/>
        <v>40</v>
      </c>
      <c r="E8" s="5">
        <f t="shared" si="0"/>
        <v>0.66666666666666663</v>
      </c>
      <c r="F8" s="4">
        <v>62</v>
      </c>
      <c r="G8" s="6">
        <v>72</v>
      </c>
    </row>
    <row r="9" spans="2:7" ht="18" customHeight="1" x14ac:dyDescent="0.25">
      <c r="B9" s="3" t="s">
        <v>3</v>
      </c>
      <c r="C9" s="5">
        <f>(G9-G8)/C18</f>
        <v>14</v>
      </c>
      <c r="D9" s="5">
        <f t="shared" si="1"/>
        <v>54</v>
      </c>
      <c r="E9" s="5">
        <f t="shared" si="0"/>
        <v>0.9</v>
      </c>
      <c r="F9" s="4">
        <v>62</v>
      </c>
      <c r="G9" s="6">
        <v>100</v>
      </c>
    </row>
    <row r="10" spans="2:7" ht="18" customHeight="1" x14ac:dyDescent="0.25">
      <c r="B10" s="3" t="s">
        <v>8</v>
      </c>
      <c r="C10" s="5">
        <f>C19</f>
        <v>15</v>
      </c>
      <c r="D10" s="5">
        <f t="shared" si="1"/>
        <v>69</v>
      </c>
      <c r="E10" s="5">
        <f t="shared" si="0"/>
        <v>1.1499999999999999</v>
      </c>
      <c r="F10" s="4">
        <v>62</v>
      </c>
      <c r="G10" s="6">
        <v>100</v>
      </c>
    </row>
    <row r="11" spans="2:7" ht="18" customHeight="1" x14ac:dyDescent="0.25">
      <c r="B11" s="3" t="s">
        <v>6</v>
      </c>
      <c r="C11" s="5">
        <f>C20</f>
        <v>5</v>
      </c>
      <c r="D11" s="5">
        <f t="shared" si="1"/>
        <v>74</v>
      </c>
      <c r="E11" s="5">
        <f t="shared" si="0"/>
        <v>1.2333333333333334</v>
      </c>
      <c r="F11" s="4">
        <v>72</v>
      </c>
      <c r="G11" s="6">
        <v>72</v>
      </c>
    </row>
    <row r="12" spans="2:7" ht="18" customHeight="1" x14ac:dyDescent="0.25">
      <c r="B12" s="3" t="s">
        <v>29</v>
      </c>
      <c r="C12" s="5">
        <v>15</v>
      </c>
      <c r="D12" s="5">
        <f t="shared" si="1"/>
        <v>89</v>
      </c>
      <c r="E12" s="5">
        <f t="shared" si="0"/>
        <v>1.4833333333333334</v>
      </c>
      <c r="F12" s="4">
        <v>72</v>
      </c>
      <c r="G12" s="6"/>
    </row>
    <row r="13" spans="2:7" ht="18" customHeight="1" x14ac:dyDescent="0.25">
      <c r="B13" s="3" t="s">
        <v>5</v>
      </c>
      <c r="C13" s="5">
        <f>C20</f>
        <v>5</v>
      </c>
      <c r="D13" s="5">
        <f t="shared" si="1"/>
        <v>94</v>
      </c>
      <c r="E13" s="5">
        <f t="shared" si="0"/>
        <v>1.5666666666666667</v>
      </c>
      <c r="F13" s="4">
        <v>72</v>
      </c>
      <c r="G13" s="6"/>
    </row>
    <row r="14" spans="2:7" ht="18" customHeight="1" x14ac:dyDescent="0.25">
      <c r="B14" s="3" t="s">
        <v>31</v>
      </c>
      <c r="C14" s="5">
        <f>(F14-F13)/C18</f>
        <v>2.5</v>
      </c>
      <c r="D14" s="5">
        <f t="shared" si="1"/>
        <v>96.5</v>
      </c>
      <c r="E14" s="5">
        <f t="shared" si="0"/>
        <v>1.6083333333333334</v>
      </c>
      <c r="F14" s="4">
        <v>77</v>
      </c>
      <c r="G14" s="6"/>
    </row>
    <row r="15" spans="2:7" ht="18" customHeight="1" thickBot="1" x14ac:dyDescent="0.3">
      <c r="B15" s="7" t="s">
        <v>14</v>
      </c>
      <c r="C15" s="9">
        <v>10</v>
      </c>
      <c r="D15" s="9">
        <f t="shared" si="1"/>
        <v>106.5</v>
      </c>
      <c r="E15" s="9">
        <f t="shared" si="0"/>
        <v>1.7749999999999999</v>
      </c>
      <c r="F15" s="8">
        <v>77</v>
      </c>
      <c r="G15" s="10"/>
    </row>
    <row r="17" spans="2:4" ht="15.75" thickBot="1" x14ac:dyDescent="0.3"/>
    <row r="18" spans="2:4" x14ac:dyDescent="0.25">
      <c r="B18" s="17" t="s">
        <v>21</v>
      </c>
      <c r="C18" s="15">
        <v>2</v>
      </c>
      <c r="D18" s="16" t="s">
        <v>22</v>
      </c>
    </row>
    <row r="19" spans="2:4" x14ac:dyDescent="0.25">
      <c r="B19" s="18" t="s">
        <v>26</v>
      </c>
      <c r="C19" s="4">
        <v>15</v>
      </c>
      <c r="D19" s="6" t="s">
        <v>20</v>
      </c>
    </row>
    <row r="20" spans="2:4" ht="15.75" thickBot="1" x14ac:dyDescent="0.3">
      <c r="B20" s="20" t="s">
        <v>23</v>
      </c>
      <c r="C20" s="8">
        <v>5</v>
      </c>
      <c r="D20" s="10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Tripla Tradiconal</vt:lpstr>
      <vt:lpstr>Dupla Tradicional</vt:lpstr>
      <vt:lpstr>Dupla Moderna</vt:lpstr>
      <vt:lpstr>Simples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awadallak</dc:creator>
  <cp:lastModifiedBy>jamal awadallak</cp:lastModifiedBy>
  <cp:lastPrinted>2022-10-27T14:07:04Z</cp:lastPrinted>
  <dcterms:created xsi:type="dcterms:W3CDTF">2022-10-26T22:56:08Z</dcterms:created>
  <dcterms:modified xsi:type="dcterms:W3CDTF">2022-11-09T17:23:57Z</dcterms:modified>
</cp:coreProperties>
</file>